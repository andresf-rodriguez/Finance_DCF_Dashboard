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" sheetId="1" state="visible" r:id="rId1"/>
    <sheet xmlns:r="http://schemas.openxmlformats.org/officeDocument/2006/relationships" name="Supuestos" sheetId="2" state="visible" r:id="rId2"/>
    <sheet xmlns:r="http://schemas.openxmlformats.org/officeDocument/2006/relationships" name="Da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0;[Red]-#,##0.00"/>
    <numFmt numFmtId="165" formatCode="$#,##0.00"/>
    <numFmt numFmtId="166" formatCode="0.0%"/>
    <numFmt numFmtId="167" formatCode="0.0000"/>
    <numFmt numFmtId="168" formatCode="0.000"/>
    <numFmt numFmtId="169" formatCode="+0.0%;-0.0%"/>
    <numFmt numFmtId="170" formatCode="$#,##0"/>
  </numFmts>
  <fonts count="4">
    <font>
      <name val="Calibri"/>
      <family val="2"/>
      <color theme="1"/>
      <sz val="11"/>
      <scheme val="minor"/>
    </font>
    <font>
      <b val="1"/>
    </font>
    <font>
      <i val="1"/>
      <color rgb="00595959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wrapText="1"/>
    </xf>
    <xf numFmtId="1" fontId="0" fillId="4" borderId="1" pivotButton="0" quotePrefix="0" xfId="0"/>
    <xf numFmtId="1" fontId="0" fillId="0" borderId="1" pivotButton="0" quotePrefix="0" xfId="0"/>
    <xf numFmtId="164" fontId="0" fillId="4" borderId="1" pivotButton="0" quotePrefix="0" xfId="0"/>
    <xf numFmtId="164" fontId="0" fillId="0" borderId="1" pivotButton="0" quotePrefix="0" xfId="0"/>
    <xf numFmtId="164" fontId="1" fillId="4" borderId="1" pivotButton="0" quotePrefix="0" xfId="0"/>
    <xf numFmtId="164" fontId="1" fillId="0" borderId="1" pivotButton="0" quotePrefix="0" xfId="0"/>
    <xf numFmtId="0" fontId="0" fillId="4" borderId="1" pivotButton="0" quotePrefix="0" xfId="0"/>
    <xf numFmtId="167" fontId="0" fillId="0" borderId="1" pivotButton="0" quotePrefix="0" xfId="0"/>
    <xf numFmtId="9" fontId="0" fillId="0" borderId="1" pivotButton="0" quotePrefix="0" xfId="0"/>
    <xf numFmtId="168" fontId="0" fillId="0" borderId="1" pivotButton="0" quotePrefix="0" xfId="0"/>
    <xf numFmtId="165" fontId="1" fillId="0" borderId="1" pivotButton="0" quotePrefix="0" xfId="0"/>
    <xf numFmtId="165" fontId="0" fillId="0" borderId="1" pivotButton="0" quotePrefix="0" xfId="0"/>
    <xf numFmtId="169" fontId="0" fillId="0" borderId="1" pivotButton="0" quotePrefix="0" xfId="0"/>
    <xf numFmtId="0" fontId="1" fillId="2" borderId="0" pivotButton="0" quotePrefix="0" xfId="0"/>
    <xf numFmtId="166" fontId="1" fillId="2" borderId="1" pivotButton="0" quotePrefix="0" xfId="0"/>
    <xf numFmtId="10" fontId="1" fillId="2" borderId="1" pivotButton="0" quotePrefix="0" xfId="0"/>
    <xf numFmtId="170" fontId="0" fillId="0" borderId="1" pivotButton="0" quotePrefix="0" xfId="0"/>
    <xf numFmtId="170" fontId="1" fillId="0" borderId="1" pivotButton="0" quotePrefix="0" xfId="0"/>
    <xf numFmtId="165" fontId="0" fillId="3" borderId="1" pivotButton="0" quotePrefix="0" xfId="0"/>
    <xf numFmtId="166" fontId="0" fillId="3" borderId="1" pivotButton="0" quotePrefix="0" xfId="0"/>
    <xf numFmtId="2" fontId="0" fillId="3" borderId="1" pivotButton="0" quotePrefix="0" xfId="0"/>
    <xf numFmtId="166" fontId="0" fillId="0" borderId="1" pivotButton="0" quotePrefix="0" xfId="0"/>
    <xf numFmtId="10" fontId="1" fillId="0" borderId="1" pivotButton="0" quotePrefix="0" xfId="0"/>
    <xf numFmtId="9" fontId="0" fillId="3" borderId="1" pivotButton="0" quotePrefix="0" xfId="0"/>
    <xf numFmtId="166" fontId="0" fillId="4" borderId="1" pivotButton="0" quotePrefix="0" xfId="0"/>
    <xf numFmtId="1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>
        <f>"DCF - "&amp;Datos!B1</f>
        <v/>
      </c>
    </row>
    <row r="2">
      <c r="A2" s="2" t="inlineStr">
        <is>
          <t>Cifras en miles de millones USD, salvo precios por acción. Todo se calcula solo: no escribas en esta hoja.</t>
        </is>
      </c>
    </row>
    <row r="3">
      <c r="A3" s="3" t="inlineStr">
        <is>
          <t>Proyección del flujo de caja libre</t>
        </is>
      </c>
      <c r="C3" s="3" t="inlineStr">
        <is>
          <t>Año base</t>
        </is>
      </c>
    </row>
    <row r="4">
      <c r="A4" s="4" t="inlineStr">
        <is>
          <t>Periodo</t>
        </is>
      </c>
      <c r="B4" s="4" t="n"/>
      <c r="C4" s="4" t="n"/>
      <c r="D4" s="4" t="n">
        <v>1</v>
      </c>
      <c r="E4" s="4">
        <f>D4+1</f>
        <v/>
      </c>
      <c r="F4" s="4">
        <f>E4+1</f>
        <v/>
      </c>
      <c r="G4" s="4">
        <f>F4+1</f>
        <v/>
      </c>
      <c r="H4" s="4">
        <f>G4+1</f>
        <v/>
      </c>
      <c r="I4" s="4">
        <f>H4+1</f>
        <v/>
      </c>
      <c r="J4" s="4">
        <f>I4+1</f>
        <v/>
      </c>
      <c r="K4" s="4">
        <f>J4+1</f>
        <v/>
      </c>
      <c r="L4" s="4">
        <f>K4+1</f>
        <v/>
      </c>
      <c r="M4" s="4">
        <f>L4+1</f>
        <v/>
      </c>
    </row>
    <row r="5">
      <c r="A5" s="3" t="inlineStr">
        <is>
          <t>Año fiscal</t>
        </is>
      </c>
      <c r="C5" s="5">
        <f>Datos!F5</f>
        <v/>
      </c>
      <c r="D5" s="6">
        <f>C5+1</f>
        <v/>
      </c>
      <c r="E5" s="6">
        <f>D5+1</f>
        <v/>
      </c>
      <c r="F5" s="6">
        <f>E5+1</f>
        <v/>
      </c>
      <c r="G5" s="6">
        <f>F5+1</f>
        <v/>
      </c>
      <c r="H5" s="6">
        <f>G5+1</f>
        <v/>
      </c>
      <c r="I5" s="6">
        <f>H5+1</f>
        <v/>
      </c>
      <c r="J5" s="6">
        <f>I5+1</f>
        <v/>
      </c>
      <c r="K5" s="6">
        <f>J5+1</f>
        <v/>
      </c>
      <c r="L5" s="6">
        <f>K5+1</f>
        <v/>
      </c>
      <c r="M5" s="6">
        <f>L5+1</f>
        <v/>
      </c>
    </row>
    <row r="6">
      <c r="A6" t="inlineStr">
        <is>
          <t>Ingresos</t>
        </is>
      </c>
      <c r="C6" s="7">
        <f>Datos!F6</f>
        <v/>
      </c>
      <c r="D6" s="8">
        <f>C6*(1+Supuestos!D22)</f>
        <v/>
      </c>
      <c r="E6" s="8">
        <f>D6*(1+Supuestos!E22)</f>
        <v/>
      </c>
      <c r="F6" s="8">
        <f>E6*(1+Supuestos!F22)</f>
        <v/>
      </c>
      <c r="G6" s="8">
        <f>F6*(1+Supuestos!G22)</f>
        <v/>
      </c>
      <c r="H6" s="8">
        <f>G6*(1+Supuestos!H22)</f>
        <v/>
      </c>
      <c r="I6" s="8">
        <f>H6*(1+Supuestos!I22)</f>
        <v/>
      </c>
      <c r="J6" s="8">
        <f>I6*(1+Supuestos!J22)</f>
        <v/>
      </c>
      <c r="K6" s="8">
        <f>J6*(1+Supuestos!K22)</f>
        <v/>
      </c>
      <c r="L6" s="8">
        <f>K6*(1+Supuestos!L22)</f>
        <v/>
      </c>
      <c r="M6" s="8">
        <f>L6*(1+Supuestos!M22)</f>
        <v/>
      </c>
    </row>
    <row r="7">
      <c r="A7" t="inlineStr">
        <is>
          <t>CFO</t>
        </is>
      </c>
      <c r="C7" s="7">
        <f>Datos!F7</f>
        <v/>
      </c>
      <c r="D7" s="8">
        <f>D6*Supuestos!D23</f>
        <v/>
      </c>
      <c r="E7" s="8">
        <f>E6*Supuestos!E23</f>
        <v/>
      </c>
      <c r="F7" s="8">
        <f>F6*Supuestos!F23</f>
        <v/>
      </c>
      <c r="G7" s="8">
        <f>G6*Supuestos!G23</f>
        <v/>
      </c>
      <c r="H7" s="8">
        <f>H6*Supuestos!H23</f>
        <v/>
      </c>
      <c r="I7" s="8">
        <f>I6*Supuestos!I23</f>
        <v/>
      </c>
      <c r="J7" s="8">
        <f>J6*Supuestos!J23</f>
        <v/>
      </c>
      <c r="K7" s="8">
        <f>K6*Supuestos!K23</f>
        <v/>
      </c>
      <c r="L7" s="8">
        <f>L6*Supuestos!L23</f>
        <v/>
      </c>
      <c r="M7" s="8">
        <f>M6*Supuestos!M23</f>
        <v/>
      </c>
    </row>
    <row r="8">
      <c r="A8" t="inlineStr">
        <is>
          <t>Capex + arrendamientos</t>
        </is>
      </c>
      <c r="C8" s="7">
        <f>Datos!F8+Datos!F9</f>
        <v/>
      </c>
      <c r="D8" s="8">
        <f>D6*Supuestos!D24</f>
        <v/>
      </c>
      <c r="E8" s="8">
        <f>E6*Supuestos!E24</f>
        <v/>
      </c>
      <c r="F8" s="8">
        <f>F6*Supuestos!F24</f>
        <v/>
      </c>
      <c r="G8" s="8">
        <f>G6*Supuestos!G24</f>
        <v/>
      </c>
      <c r="H8" s="8">
        <f>H6*Supuestos!H24</f>
        <v/>
      </c>
      <c r="I8" s="8">
        <f>I6*Supuestos!I24</f>
        <v/>
      </c>
      <c r="J8" s="8">
        <f>J6*Supuestos!J24</f>
        <v/>
      </c>
      <c r="K8" s="8">
        <f>K6*Supuestos!K24</f>
        <v/>
      </c>
      <c r="L8" s="8">
        <f>L6*Supuestos!L24</f>
        <v/>
      </c>
      <c r="M8" s="8">
        <f>M6*Supuestos!M24</f>
        <v/>
      </c>
    </row>
    <row r="9">
      <c r="A9" t="inlineStr">
        <is>
          <t>SBC</t>
        </is>
      </c>
      <c r="C9" s="7">
        <f>Datos!F10</f>
        <v/>
      </c>
      <c r="D9" s="8">
        <f>D6*Supuestos!D25</f>
        <v/>
      </c>
      <c r="E9" s="8">
        <f>E6*Supuestos!E25</f>
        <v/>
      </c>
      <c r="F9" s="8">
        <f>F6*Supuestos!F25</f>
        <v/>
      </c>
      <c r="G9" s="8">
        <f>G6*Supuestos!G25</f>
        <v/>
      </c>
      <c r="H9" s="8">
        <f>H6*Supuestos!H25</f>
        <v/>
      </c>
      <c r="I9" s="8">
        <f>I6*Supuestos!I25</f>
        <v/>
      </c>
      <c r="J9" s="8">
        <f>J6*Supuestos!J25</f>
        <v/>
      </c>
      <c r="K9" s="8">
        <f>K6*Supuestos!K25</f>
        <v/>
      </c>
      <c r="L9" s="8">
        <f>L6*Supuestos!L25</f>
        <v/>
      </c>
      <c r="M9" s="8">
        <f>M6*Supuestos!M25</f>
        <v/>
      </c>
    </row>
    <row r="10">
      <c r="A10" s="3" t="inlineStr">
        <is>
          <t>FCF - SBC</t>
        </is>
      </c>
      <c r="C10" s="9">
        <f>Datos!F16</f>
        <v/>
      </c>
      <c r="D10" s="10">
        <f>D7-D8-D9</f>
        <v/>
      </c>
      <c r="E10" s="10">
        <f>E7-E8-E9</f>
        <v/>
      </c>
      <c r="F10" s="10">
        <f>F7-F8-F9</f>
        <v/>
      </c>
      <c r="G10" s="10">
        <f>G7-G8-G9</f>
        <v/>
      </c>
      <c r="H10" s="10">
        <f>H7-H8-H9</f>
        <v/>
      </c>
      <c r="I10" s="10">
        <f>I7-I8-I9</f>
        <v/>
      </c>
      <c r="J10" s="10">
        <f>J7-J8-J9</f>
        <v/>
      </c>
      <c r="K10" s="10">
        <f>K7-K8-K9</f>
        <v/>
      </c>
      <c r="L10" s="10">
        <f>L7-L8-L9</f>
        <v/>
      </c>
      <c r="M10" s="10">
        <f>M7-M8-M9</f>
        <v/>
      </c>
    </row>
    <row r="11">
      <c r="A11" t="inlineStr">
        <is>
          <t>Factor de descuento</t>
        </is>
      </c>
      <c r="C11" s="11" t="n"/>
      <c r="D11" s="12">
        <f>1/(1+Supuestos!$B$16)^D4</f>
        <v/>
      </c>
      <c r="E11" s="12">
        <f>1/(1+Supuestos!$B$16)^E4</f>
        <v/>
      </c>
      <c r="F11" s="12">
        <f>1/(1+Supuestos!$B$16)^F4</f>
        <v/>
      </c>
      <c r="G11" s="12">
        <f>1/(1+Supuestos!$B$16)^G4</f>
        <v/>
      </c>
      <c r="H11" s="12">
        <f>1/(1+Supuestos!$B$16)^H4</f>
        <v/>
      </c>
      <c r="I11" s="12">
        <f>1/(1+Supuestos!$B$16)^I4</f>
        <v/>
      </c>
      <c r="J11" s="12">
        <f>1/(1+Supuestos!$B$16)^J4</f>
        <v/>
      </c>
      <c r="K11" s="12">
        <f>1/(1+Supuestos!$B$16)^K4</f>
        <v/>
      </c>
      <c r="L11" s="12">
        <f>1/(1+Supuestos!$B$16)^L4</f>
        <v/>
      </c>
      <c r="M11" s="12">
        <f>1/(1+Supuestos!$B$16)^M4</f>
        <v/>
      </c>
    </row>
    <row r="12">
      <c r="A12" s="3" t="inlineStr">
        <is>
          <t>Valor presente del FCF - SBC</t>
        </is>
      </c>
      <c r="C12" s="11" t="n"/>
      <c r="D12" s="10">
        <f>D10*D11</f>
        <v/>
      </c>
      <c r="E12" s="10">
        <f>E10*E11</f>
        <v/>
      </c>
      <c r="F12" s="10">
        <f>F10*F11</f>
        <v/>
      </c>
      <c r="G12" s="10">
        <f>G10*G11</f>
        <v/>
      </c>
      <c r="H12" s="10">
        <f>H10*H11</f>
        <v/>
      </c>
      <c r="I12" s="10">
        <f>I10*I11</f>
        <v/>
      </c>
      <c r="J12" s="10">
        <f>J10*J11</f>
        <v/>
      </c>
      <c r="K12" s="10">
        <f>K10*K11</f>
        <v/>
      </c>
      <c r="L12" s="10">
        <f>L10*L11</f>
        <v/>
      </c>
      <c r="M12" s="10">
        <f>M10*M11</f>
        <v/>
      </c>
    </row>
    <row r="14">
      <c r="A14" s="3" t="inlineStr">
        <is>
          <t>Valoración</t>
        </is>
      </c>
    </row>
    <row r="15">
      <c r="A15" t="inlineStr">
        <is>
          <t>Suma del valor presente del FCF - SBC (años 1 a 10)</t>
        </is>
      </c>
      <c r="B15" s="8">
        <f>SUM(D12:M12)</f>
        <v/>
      </c>
    </row>
    <row r="16">
      <c r="A16" t="inlineStr">
        <is>
          <t>FCF - SBC del año 10 x (1 + g)</t>
        </is>
      </c>
      <c r="B16" s="8">
        <f>M10*(1+Supuestos!B17)</f>
        <v/>
      </c>
    </row>
    <row r="17">
      <c r="A17" t="inlineStr">
        <is>
          <t>Valor terminal  = fila 16 / (WACC − g)</t>
        </is>
      </c>
      <c r="B17" s="8">
        <f>IF(Supuestos!B16&lt;=Supuestos!B17,"WACC debe ser &gt; g",B16/(Supuestos!B16-Supuestos!B17))</f>
        <v/>
      </c>
    </row>
    <row r="18">
      <c r="A18" t="inlineStr">
        <is>
          <t>Valor presente del valor terminal</t>
        </is>
      </c>
      <c r="B18" s="8">
        <f>B17*M11</f>
        <v/>
      </c>
    </row>
    <row r="19">
      <c r="A19" t="inlineStr">
        <is>
          <t>Valor de la empresa (EV)</t>
        </is>
      </c>
      <c r="B19" s="8">
        <f>B15+B18</f>
        <v/>
      </c>
    </row>
    <row r="20">
      <c r="A20" t="inlineStr">
        <is>
          <t>% del valor que viene del valor terminal</t>
        </is>
      </c>
      <c r="B20" s="13">
        <f>B18/B19</f>
        <v/>
      </c>
      <c r="C20" s="2" t="inlineStr">
        <is>
          <t>← si supera 75%, el resultado es muy sensible al WACC y a g</t>
        </is>
      </c>
    </row>
    <row r="21">
      <c r="A21" t="inlineStr">
        <is>
          <t>+ Caja y valores negociables</t>
        </is>
      </c>
      <c r="B21" s="8">
        <f>Datos!F11+Datos!F12</f>
        <v/>
      </c>
    </row>
    <row r="22">
      <c r="A22" t="inlineStr">
        <is>
          <t>− Deuda</t>
        </is>
      </c>
      <c r="B22" s="8">
        <f>Datos!F13</f>
        <v/>
      </c>
    </row>
    <row r="23">
      <c r="A23" t="inlineStr">
        <is>
          <t>Valor del capital (equity)</t>
        </is>
      </c>
      <c r="B23" s="8">
        <f>B19+B21-B22</f>
        <v/>
      </c>
    </row>
    <row r="24">
      <c r="A24" t="inlineStr">
        <is>
          <t>Acciones diluidas (miles de millones)</t>
        </is>
      </c>
      <c r="B24" s="14">
        <f>Datos!F14</f>
        <v/>
      </c>
    </row>
    <row r="25">
      <c r="A25" s="3" t="inlineStr">
        <is>
          <t>Valor intrínseco por acción ($)</t>
        </is>
      </c>
      <c r="B25" s="15">
        <f>B23/B24</f>
        <v/>
      </c>
    </row>
    <row r="26">
      <c r="A26" s="3" t="inlineStr">
        <is>
          <t>Precio con margen de seguridad ($)</t>
        </is>
      </c>
      <c r="B26" s="15">
        <f>B25*(1-Supuestos!B18)</f>
        <v/>
      </c>
    </row>
    <row r="27">
      <c r="A27" t="inlineStr">
        <is>
          <t>Precio actual ($)</t>
        </is>
      </c>
      <c r="B27" s="16">
        <f>Supuestos!B6</f>
        <v/>
      </c>
    </row>
    <row r="28">
      <c r="A28" t="inlineStr">
        <is>
          <t>Valor intrínseco vs. precio actual</t>
        </is>
      </c>
      <c r="B28" s="17">
        <f>IF(B27&gt;0,B25/B27-1,"sin precio")</f>
        <v/>
      </c>
    </row>
    <row r="30">
      <c r="A30" s="3" t="inlineStr">
        <is>
          <t>Sensibilidad del valor intrínseco por acción ($)  —  filas: WACC, columnas: crecimiento perpetuo g</t>
        </is>
      </c>
    </row>
    <row r="31">
      <c r="A31" s="18" t="inlineStr">
        <is>
          <t>WACC \ g</t>
        </is>
      </c>
      <c r="B31" s="19">
        <f>Supuestos!$B$17+(-0.01)</f>
        <v/>
      </c>
      <c r="C31" s="19">
        <f>Supuestos!$B$17+(-0.005)</f>
        <v/>
      </c>
      <c r="D31" s="19">
        <f>Supuestos!$B$17+(0)</f>
        <v/>
      </c>
      <c r="E31" s="19">
        <f>Supuestos!$B$17+(0.005)</f>
        <v/>
      </c>
      <c r="F31" s="19">
        <f>Supuestos!$B$17+(0.01)</f>
        <v/>
      </c>
    </row>
    <row r="32">
      <c r="A32" s="20">
        <f>Supuestos!$B$16+(-0.02)</f>
        <v/>
      </c>
      <c r="B32" s="21">
        <f>IF($A32&lt;=B$31,"n/a",(SUMPRODUCT($D$10:$M$10/(1+$A32)^$D$4:$M$4)+$M$10*(1+B$31)/($A32-B$31)/(1+$A32)^10+$B$21-$B$22)/$B$24)</f>
        <v/>
      </c>
      <c r="C32" s="21">
        <f>IF($A32&lt;=C$31,"n/a",(SUMPRODUCT($D$10:$M$10/(1+$A32)^$D$4:$M$4)+$M$10*(1+C$31)/($A32-C$31)/(1+$A32)^10+$B$21-$B$22)/$B$24)</f>
        <v/>
      </c>
      <c r="D32" s="21">
        <f>IF($A32&lt;=D$31,"n/a",(SUMPRODUCT($D$10:$M$10/(1+$A32)^$D$4:$M$4)+$M$10*(1+D$31)/($A32-D$31)/(1+$A32)^10+$B$21-$B$22)/$B$24)</f>
        <v/>
      </c>
      <c r="E32" s="21">
        <f>IF($A32&lt;=E$31,"n/a",(SUMPRODUCT($D$10:$M$10/(1+$A32)^$D$4:$M$4)+$M$10*(1+E$31)/($A32-E$31)/(1+$A32)^10+$B$21-$B$22)/$B$24)</f>
        <v/>
      </c>
      <c r="F32" s="21">
        <f>IF($A32&lt;=F$31,"n/a",(SUMPRODUCT($D$10:$M$10/(1+$A32)^$D$4:$M$4)+$M$10*(1+F$31)/($A32-F$31)/(1+$A32)^10+$B$21-$B$22)/$B$24)</f>
        <v/>
      </c>
    </row>
    <row r="33">
      <c r="A33" s="20">
        <f>Supuestos!$B$16+(-0.01)</f>
        <v/>
      </c>
      <c r="B33" s="21">
        <f>IF($A33&lt;=B$31,"n/a",(SUMPRODUCT($D$10:$M$10/(1+$A33)^$D$4:$M$4)+$M$10*(1+B$31)/($A33-B$31)/(1+$A33)^10+$B$21-$B$22)/$B$24)</f>
        <v/>
      </c>
      <c r="C33" s="21">
        <f>IF($A33&lt;=C$31,"n/a",(SUMPRODUCT($D$10:$M$10/(1+$A33)^$D$4:$M$4)+$M$10*(1+C$31)/($A33-C$31)/(1+$A33)^10+$B$21-$B$22)/$B$24)</f>
        <v/>
      </c>
      <c r="D33" s="21">
        <f>IF($A33&lt;=D$31,"n/a",(SUMPRODUCT($D$10:$M$10/(1+$A33)^$D$4:$M$4)+$M$10*(1+D$31)/($A33-D$31)/(1+$A33)^10+$B$21-$B$22)/$B$24)</f>
        <v/>
      </c>
      <c r="E33" s="21">
        <f>IF($A33&lt;=E$31,"n/a",(SUMPRODUCT($D$10:$M$10/(1+$A33)^$D$4:$M$4)+$M$10*(1+E$31)/($A33-E$31)/(1+$A33)^10+$B$21-$B$22)/$B$24)</f>
        <v/>
      </c>
      <c r="F33" s="21">
        <f>IF($A33&lt;=F$31,"n/a",(SUMPRODUCT($D$10:$M$10/(1+$A33)^$D$4:$M$4)+$M$10*(1+F$31)/($A33-F$31)/(1+$A33)^10+$B$21-$B$22)/$B$24)</f>
        <v/>
      </c>
    </row>
    <row r="34">
      <c r="A34" s="20">
        <f>Supuestos!$B$16+(0)</f>
        <v/>
      </c>
      <c r="B34" s="21">
        <f>IF($A34&lt;=B$31,"n/a",(SUMPRODUCT($D$10:$M$10/(1+$A34)^$D$4:$M$4)+$M$10*(1+B$31)/($A34-B$31)/(1+$A34)^10+$B$21-$B$22)/$B$24)</f>
        <v/>
      </c>
      <c r="C34" s="21">
        <f>IF($A34&lt;=C$31,"n/a",(SUMPRODUCT($D$10:$M$10/(1+$A34)^$D$4:$M$4)+$M$10*(1+C$31)/($A34-C$31)/(1+$A34)^10+$B$21-$B$22)/$B$24)</f>
        <v/>
      </c>
      <c r="D34" s="22">
        <f>IF($A34&lt;=D$31,"n/a",(SUMPRODUCT($D$10:$M$10/(1+$A34)^$D$4:$M$4)+$M$10*(1+D$31)/($A34-D$31)/(1+$A34)^10+$B$21-$B$22)/$B$24)</f>
        <v/>
      </c>
      <c r="E34" s="21">
        <f>IF($A34&lt;=E$31,"n/a",(SUMPRODUCT($D$10:$M$10/(1+$A34)^$D$4:$M$4)+$M$10*(1+E$31)/($A34-E$31)/(1+$A34)^10+$B$21-$B$22)/$B$24)</f>
        <v/>
      </c>
      <c r="F34" s="21">
        <f>IF($A34&lt;=F$31,"n/a",(SUMPRODUCT($D$10:$M$10/(1+$A34)^$D$4:$M$4)+$M$10*(1+F$31)/($A34-F$31)/(1+$A34)^10+$B$21-$B$22)/$B$24)</f>
        <v/>
      </c>
    </row>
    <row r="35">
      <c r="A35" s="20">
        <f>Supuestos!$B$16+(0.01)</f>
        <v/>
      </c>
      <c r="B35" s="21">
        <f>IF($A35&lt;=B$31,"n/a",(SUMPRODUCT($D$10:$M$10/(1+$A35)^$D$4:$M$4)+$M$10*(1+B$31)/($A35-B$31)/(1+$A35)^10+$B$21-$B$22)/$B$24)</f>
        <v/>
      </c>
      <c r="C35" s="21">
        <f>IF($A35&lt;=C$31,"n/a",(SUMPRODUCT($D$10:$M$10/(1+$A35)^$D$4:$M$4)+$M$10*(1+C$31)/($A35-C$31)/(1+$A35)^10+$B$21-$B$22)/$B$24)</f>
        <v/>
      </c>
      <c r="D35" s="21">
        <f>IF($A35&lt;=D$31,"n/a",(SUMPRODUCT($D$10:$M$10/(1+$A35)^$D$4:$M$4)+$M$10*(1+D$31)/($A35-D$31)/(1+$A35)^10+$B$21-$B$22)/$B$24)</f>
        <v/>
      </c>
      <c r="E35" s="21">
        <f>IF($A35&lt;=E$31,"n/a",(SUMPRODUCT($D$10:$M$10/(1+$A35)^$D$4:$M$4)+$M$10*(1+E$31)/($A35-E$31)/(1+$A35)^10+$B$21-$B$22)/$B$24)</f>
        <v/>
      </c>
      <c r="F35" s="21">
        <f>IF($A35&lt;=F$31,"n/a",(SUMPRODUCT($D$10:$M$10/(1+$A35)^$D$4:$M$4)+$M$10*(1+F$31)/($A35-F$31)/(1+$A35)^10+$B$21-$B$22)/$B$24)</f>
        <v/>
      </c>
    </row>
    <row r="36">
      <c r="A36" s="20">
        <f>Supuestos!$B$16+(0.02)</f>
        <v/>
      </c>
      <c r="B36" s="21">
        <f>IF($A36&lt;=B$31,"n/a",(SUMPRODUCT($D$10:$M$10/(1+$A36)^$D$4:$M$4)+$M$10*(1+B$31)/($A36-B$31)/(1+$A36)^10+$B$21-$B$22)/$B$24)</f>
        <v/>
      </c>
      <c r="C36" s="21">
        <f>IF($A36&lt;=C$31,"n/a",(SUMPRODUCT($D$10:$M$10/(1+$A36)^$D$4:$M$4)+$M$10*(1+C$31)/($A36-C$31)/(1+$A36)^10+$B$21-$B$22)/$B$24)</f>
        <v/>
      </c>
      <c r="D36" s="21">
        <f>IF($A36&lt;=D$31,"n/a",(SUMPRODUCT($D$10:$M$10/(1+$A36)^$D$4:$M$4)+$M$10*(1+D$31)/($A36-D$31)/(1+$A36)^10+$B$21-$B$22)/$B$24)</f>
        <v/>
      </c>
      <c r="E36" s="21">
        <f>IF($A36&lt;=E$31,"n/a",(SUMPRODUCT($D$10:$M$10/(1+$A36)^$D$4:$M$4)+$M$10*(1+E$31)/($A36-E$31)/(1+$A36)^10+$B$21-$B$22)/$B$24)</f>
        <v/>
      </c>
      <c r="F36" s="21">
        <f>IF($A36&lt;=F$31,"n/a",(SUMPRODUCT($D$10:$M$10/(1+$A36)^$D$4:$M$4)+$M$10*(1+F$31)/($A36-F$31)/(1+$A36)^10+$B$21-$B$22)/$B$24)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4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Supuestos del DCF</t>
        </is>
      </c>
    </row>
    <row r="2">
      <c r="A2" s="2" t="inlineStr">
        <is>
          <t>Celdas AMARILLAS = tus supuestos (edítalas). Negro = fórmulas. Verde = datos que vienen de la hoja Datos.</t>
        </is>
      </c>
    </row>
    <row r="3">
      <c r="A3" s="2" t="inlineStr">
        <is>
          <t>Los valores amarillos que vienen en la plantilla son EJEMPLOS genéricos: reemplázalos antes de sacar conclusiones.</t>
        </is>
      </c>
    </row>
    <row r="5">
      <c r="A5" s="3" t="inlineStr">
        <is>
          <t>Mercado y tasa de descuento</t>
        </is>
      </c>
    </row>
    <row r="6">
      <c r="A6" t="inlineStr">
        <is>
          <t>Precio actual de la acción ($)</t>
        </is>
      </c>
      <c r="B6" s="23" t="n"/>
      <c r="C6" s="2" t="inlineStr">
        <is>
          <t>← lo rellena la app con el precio del día de descarga</t>
        </is>
      </c>
    </row>
    <row r="7">
      <c r="A7" t="inlineStr">
        <is>
          <t>Tasa libre de riesgo (bono del Tesoro 10 años)</t>
        </is>
      </c>
      <c r="B7" s="24" t="n">
        <v>0.045</v>
      </c>
    </row>
    <row r="8">
      <c r="A8" t="inlineStr">
        <is>
          <t>Beta</t>
        </is>
      </c>
      <c r="B8" s="25" t="n">
        <v>1.2</v>
      </c>
    </row>
    <row r="9">
      <c r="A9" t="inlineStr">
        <is>
          <t>Prima de riesgo de mercado</t>
        </is>
      </c>
      <c r="B9" s="24" t="n">
        <v>0.05</v>
      </c>
    </row>
    <row r="10">
      <c r="A10" t="inlineStr">
        <is>
          <t>Costo del capital (Ke = Rf + Beta x Prima)</t>
        </is>
      </c>
      <c r="B10" s="26">
        <f>B7+B8*B9</f>
        <v/>
      </c>
    </row>
    <row r="11">
      <c r="A11" t="inlineStr">
        <is>
          <t>Costo de la deuda antes de impuestos</t>
        </is>
      </c>
      <c r="B11" s="24" t="n">
        <v>0.05</v>
      </c>
    </row>
    <row r="12">
      <c r="A12" t="inlineStr">
        <is>
          <t>Tasa de impuestos</t>
        </is>
      </c>
      <c r="B12" s="24" t="n">
        <v>0.21</v>
      </c>
    </row>
    <row r="13">
      <c r="A13" t="inlineStr">
        <is>
          <t>Capitalización de mercado ($ miles de millones)</t>
        </is>
      </c>
      <c r="B13" s="7">
        <f>B6*Datos!F14</f>
        <v/>
      </c>
    </row>
    <row r="14">
      <c r="A14" t="inlineStr">
        <is>
          <t>Deuda ($ miles de millones)</t>
        </is>
      </c>
      <c r="B14" s="7">
        <f>Datos!F13</f>
        <v/>
      </c>
    </row>
    <row r="15">
      <c r="A15" t="inlineStr">
        <is>
          <t>Peso del capital propio  E / (E + D)</t>
        </is>
      </c>
      <c r="B15" s="26">
        <f>IF(B13+B14&gt;0,B13/(B13+B14),1)</f>
        <v/>
      </c>
    </row>
    <row r="16">
      <c r="A16" s="3" t="inlineStr">
        <is>
          <t>WACC  = peso x Ke + (1 − peso) x Kd x (1 − impuestos)</t>
        </is>
      </c>
      <c r="B16" s="27">
        <f>B15*B10+(1-B15)*B11*(1-B12)</f>
        <v/>
      </c>
    </row>
    <row r="17">
      <c r="A17" t="inlineStr">
        <is>
          <t>Crecimiento perpetuo (g)</t>
        </is>
      </c>
      <c r="B17" s="24" t="n">
        <v>0.025</v>
      </c>
    </row>
    <row r="18">
      <c r="A18" t="inlineStr">
        <is>
          <t>Margen de seguridad</t>
        </is>
      </c>
      <c r="B18" s="28" t="n">
        <v>0.2</v>
      </c>
    </row>
    <row r="20">
      <c r="A20" s="3" t="inlineStr">
        <is>
          <t>Proyección a 10 años (todo como % de ingresos)</t>
        </is>
      </c>
    </row>
    <row r="21">
      <c r="A21" s="4" t="inlineStr">
        <is>
          <t>Concepto  (columnas D-M = año 1 a 10 de la proyección)</t>
        </is>
      </c>
      <c r="B21" s="4" t="inlineStr">
        <is>
          <t>Último año</t>
        </is>
      </c>
      <c r="C21" s="4" t="inlineStr">
        <is>
          <t>Promedio hist.</t>
        </is>
      </c>
      <c r="D21" s="4" t="n">
        <v>1</v>
      </c>
      <c r="E21" s="4" t="n">
        <v>2</v>
      </c>
      <c r="F21" s="4" t="n">
        <v>3</v>
      </c>
      <c r="G21" s="4" t="n">
        <v>4</v>
      </c>
      <c r="H21" s="4" t="n">
        <v>5</v>
      </c>
      <c r="I21" s="4" t="n">
        <v>6</v>
      </c>
      <c r="J21" s="4" t="n">
        <v>7</v>
      </c>
      <c r="K21" s="4" t="n">
        <v>8</v>
      </c>
      <c r="L21" s="4" t="n">
        <v>9</v>
      </c>
      <c r="M21" s="4" t="n">
        <v>10</v>
      </c>
    </row>
    <row r="22">
      <c r="A22" t="inlineStr">
        <is>
          <t>Crecimiento de ingresos</t>
        </is>
      </c>
      <c r="B22" s="29">
        <f>Datos!F6/Datos!E6-1</f>
        <v/>
      </c>
      <c r="C22" s="29">
        <f>(Datos!F6/Datos!B6)^(1/4)-1</f>
        <v/>
      </c>
      <c r="D22" s="24" t="n">
        <v>0.12</v>
      </c>
      <c r="E22" s="24">
        <f>$D22+($M22-$D22)*(E$21-1)/9</f>
        <v/>
      </c>
      <c r="F22" s="24">
        <f>$D22+($M22-$D22)*(F$21-1)/9</f>
        <v/>
      </c>
      <c r="G22" s="24">
        <f>$D22+($M22-$D22)*(G$21-1)/9</f>
        <v/>
      </c>
      <c r="H22" s="24">
        <f>$D22+($M22-$D22)*(H$21-1)/9</f>
        <v/>
      </c>
      <c r="I22" s="24">
        <f>$D22+($M22-$D22)*(I$21-1)/9</f>
        <v/>
      </c>
      <c r="J22" s="24">
        <f>$D22+($M22-$D22)*(J$21-1)/9</f>
        <v/>
      </c>
      <c r="K22" s="24">
        <f>$D22+($M22-$D22)*(K$21-1)/9</f>
        <v/>
      </c>
      <c r="L22" s="24">
        <f>$D22+($M22-$D22)*(L$21-1)/9</f>
        <v/>
      </c>
      <c r="M22" s="24" t="n">
        <v>0.04</v>
      </c>
    </row>
    <row r="23">
      <c r="A23" t="inlineStr">
        <is>
          <t>CFO como % de ingresos</t>
        </is>
      </c>
      <c r="B23" s="29">
        <f>Datos!F7/Datos!F6</f>
        <v/>
      </c>
      <c r="C23" s="29">
        <f>AVERAGE(Datos!D7/Datos!D6,Datos!E7/Datos!E6,Datos!F7/Datos!F6)</f>
        <v/>
      </c>
      <c r="D23" s="24">
        <f>ROUND(C23,3)</f>
        <v/>
      </c>
      <c r="E23" s="24">
        <f>$D23</f>
        <v/>
      </c>
      <c r="F23" s="24">
        <f>$D23</f>
        <v/>
      </c>
      <c r="G23" s="24">
        <f>$D23</f>
        <v/>
      </c>
      <c r="H23" s="24">
        <f>$D23</f>
        <v/>
      </c>
      <c r="I23" s="24">
        <f>$D23</f>
        <v/>
      </c>
      <c r="J23" s="24">
        <f>$D23</f>
        <v/>
      </c>
      <c r="K23" s="24">
        <f>$D23</f>
        <v/>
      </c>
      <c r="L23" s="24">
        <f>$D23</f>
        <v/>
      </c>
      <c r="M23" s="24">
        <f>$D23</f>
        <v/>
      </c>
    </row>
    <row r="24">
      <c r="A24" t="inlineStr">
        <is>
          <t>Capex + arrendamientos como % de ingresos</t>
        </is>
      </c>
      <c r="B24" s="29">
        <f>(Datos!F8+Datos!F9)/Datos!F6</f>
        <v/>
      </c>
      <c r="C24" s="29">
        <f>AVERAGE((Datos!B8+Datos!B9)/Datos!B6,(Datos!C8+Datos!C9)/Datos!C6,(Datos!D8+Datos!D9)/Datos!D6,(Datos!E8+Datos!E9)/Datos!E6)</f>
        <v/>
      </c>
      <c r="D24" s="24">
        <f>ROUND(B24,3)</f>
        <v/>
      </c>
      <c r="E24" s="24">
        <f>IF(E$21&gt;=$B$26,$M24,$D24+($M24-$D24)*(E$21-1)/($B$26-1))</f>
        <v/>
      </c>
      <c r="F24" s="24">
        <f>IF(F$21&gt;=$B$26,$M24,$D24+($M24-$D24)*(F$21-1)/($B$26-1))</f>
        <v/>
      </c>
      <c r="G24" s="24">
        <f>IF(G$21&gt;=$B$26,$M24,$D24+($M24-$D24)*(G$21-1)/($B$26-1))</f>
        <v/>
      </c>
      <c r="H24" s="24">
        <f>IF(H$21&gt;=$B$26,$M24,$D24+($M24-$D24)*(H$21-1)/($B$26-1))</f>
        <v/>
      </c>
      <c r="I24" s="24">
        <f>IF(I$21&gt;=$B$26,$M24,$D24+($M24-$D24)*(I$21-1)/($B$26-1))</f>
        <v/>
      </c>
      <c r="J24" s="24">
        <f>IF(J$21&gt;=$B$26,$M24,$D24+($M24-$D24)*(J$21-1)/($B$26-1))</f>
        <v/>
      </c>
      <c r="K24" s="24">
        <f>IF(K$21&gt;=$B$26,$M24,$D24+($M24-$D24)*(K$21-1)/($B$26-1))</f>
        <v/>
      </c>
      <c r="L24" s="24">
        <f>IF(L$21&gt;=$B$26,$M24,$D24+($M24-$D24)*(L$21-1)/($B$26-1))</f>
        <v/>
      </c>
      <c r="M24" s="24">
        <f>ROUND(C24,3)</f>
        <v/>
      </c>
    </row>
    <row r="25">
      <c r="A25" t="inlineStr">
        <is>
          <t>SBC como % de ingresos</t>
        </is>
      </c>
      <c r="B25" s="29">
        <f>Datos!F10/Datos!F6</f>
        <v/>
      </c>
      <c r="C25" s="29">
        <f>AVERAGE(Datos!D10/Datos!D6,Datos!E10/Datos!E6,Datos!F10/Datos!F6)</f>
        <v/>
      </c>
      <c r="D25" s="24">
        <f>ROUND(B25,3)</f>
        <v/>
      </c>
      <c r="E25" s="24">
        <f>$D25</f>
        <v/>
      </c>
      <c r="F25" s="24">
        <f>$D25</f>
        <v/>
      </c>
      <c r="G25" s="24">
        <f>$D25</f>
        <v/>
      </c>
      <c r="H25" s="24">
        <f>$D25</f>
        <v/>
      </c>
      <c r="I25" s="24">
        <f>$D25</f>
        <v/>
      </c>
      <c r="J25" s="24">
        <f>$D25</f>
        <v/>
      </c>
      <c r="K25" s="24">
        <f>$D25</f>
        <v/>
      </c>
      <c r="L25" s="24">
        <f>$D25</f>
        <v/>
      </c>
      <c r="M25" s="24">
        <f>$D25</f>
        <v/>
      </c>
    </row>
    <row r="26">
      <c r="A26" t="inlineStr">
        <is>
          <t>Año en que el capex llega al nivel normal (columna M)</t>
        </is>
      </c>
      <c r="B26" s="30" t="n">
        <v>5</v>
      </c>
    </row>
    <row r="27">
      <c r="A27" s="2" t="inlineStr">
        <is>
          <t>Ejemplos: crecimiento 12% → 4% lineal; CFO = promedio 3 años; capex baja del último año al promedio de los 4 años previos; SBC = último año. 'Promedio hist.' es de 3 años, salvo capex (4 años previos al último).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Ticker</t>
        </is>
      </c>
    </row>
    <row r="2">
      <c r="A2" s="3" t="inlineStr">
        <is>
          <t>Actualizado</t>
        </is>
      </c>
      <c r="C2" s="2" t="n"/>
    </row>
    <row r="3">
      <c r="A3" s="3" t="inlineStr">
        <is>
          <t>Fuente</t>
        </is>
      </c>
      <c r="B3" t="inlineStr">
        <is>
          <t>SEC EDGAR, API companyfacts (reportes 10-K). Hoja escrita por extraer_datos.py: no editar a mano.</t>
        </is>
      </c>
    </row>
    <row r="5">
      <c r="A5" s="4" t="inlineStr">
        <is>
          <t>Concepto (miles de millones USD)</t>
        </is>
      </c>
      <c r="B5" s="4" t="n"/>
      <c r="C5" s="4" t="n"/>
      <c r="D5" s="4" t="n"/>
      <c r="E5" s="4" t="n"/>
      <c r="F5" s="4" t="n"/>
    </row>
    <row r="6">
      <c r="A6" t="inlineStr">
        <is>
          <t>Ingresos</t>
        </is>
      </c>
      <c r="B6" s="8" t="n"/>
      <c r="C6" s="8" t="n"/>
      <c r="D6" s="8" t="n"/>
      <c r="E6" s="8" t="n"/>
      <c r="F6" s="8" t="n"/>
    </row>
    <row r="7">
      <c r="A7" t="inlineStr">
        <is>
          <t>CFO (flujo operativo)</t>
        </is>
      </c>
      <c r="B7" s="8" t="n"/>
      <c r="C7" s="8" t="n"/>
      <c r="D7" s="8" t="n"/>
      <c r="E7" s="8" t="n"/>
      <c r="F7" s="8" t="n"/>
    </row>
    <row r="8">
      <c r="A8" t="inlineStr">
        <is>
          <t>Capex</t>
        </is>
      </c>
      <c r="B8" s="8" t="n"/>
      <c r="C8" s="8" t="n"/>
      <c r="D8" s="8" t="n"/>
      <c r="E8" s="8" t="n"/>
      <c r="F8" s="8" t="n"/>
    </row>
    <row r="9">
      <c r="A9" t="inlineStr">
        <is>
          <t>Arrendamientos financieros</t>
        </is>
      </c>
      <c r="B9" s="8" t="n"/>
      <c r="C9" s="8" t="n"/>
      <c r="D9" s="8" t="n"/>
      <c r="E9" s="8" t="n"/>
      <c r="F9" s="8" t="n"/>
    </row>
    <row r="10">
      <c r="A10" t="inlineStr">
        <is>
          <t>SBC (compensación en acciones)</t>
        </is>
      </c>
      <c r="B10" s="8" t="n"/>
      <c r="C10" s="8" t="n"/>
      <c r="D10" s="8" t="n"/>
      <c r="E10" s="8" t="n"/>
      <c r="F10" s="8" t="n"/>
    </row>
    <row r="11">
      <c r="A11" t="inlineStr">
        <is>
          <t>Caja</t>
        </is>
      </c>
      <c r="B11" s="8" t="n"/>
      <c r="C11" s="8" t="n"/>
      <c r="D11" s="8" t="n"/>
      <c r="E11" s="8" t="n"/>
      <c r="F11" s="8" t="n"/>
    </row>
    <row r="12">
      <c r="A12" t="inlineStr">
        <is>
          <t>Valores negociables</t>
        </is>
      </c>
      <c r="B12" s="8" t="n"/>
      <c r="C12" s="8" t="n"/>
      <c r="D12" s="8" t="n"/>
      <c r="E12" s="8" t="n"/>
      <c r="F12" s="8" t="n"/>
    </row>
    <row r="13">
      <c r="A13" t="inlineStr">
        <is>
          <t>Deuda</t>
        </is>
      </c>
      <c r="B13" s="8" t="n"/>
      <c r="C13" s="8" t="n"/>
      <c r="D13" s="8" t="n"/>
      <c r="E13" s="8" t="n"/>
      <c r="F13" s="8" t="n"/>
    </row>
    <row r="14">
      <c r="A14" t="inlineStr">
        <is>
          <t>Acciones diluidas (miles de millones)</t>
        </is>
      </c>
      <c r="B14" s="8" t="n"/>
      <c r="C14" s="8" t="n"/>
      <c r="D14" s="8" t="n"/>
      <c r="E14" s="8" t="n"/>
      <c r="F14" s="8" t="n"/>
    </row>
    <row r="15">
      <c r="A15" s="3" t="inlineStr">
        <is>
          <t>FCF (CFO − capex − arrendamientos)</t>
        </is>
      </c>
      <c r="B15" s="10">
        <f>B7-B8-B9</f>
        <v/>
      </c>
      <c r="C15" s="10">
        <f>C7-C8-C9</f>
        <v/>
      </c>
      <c r="D15" s="10">
        <f>D7-D8-D9</f>
        <v/>
      </c>
      <c r="E15" s="10">
        <f>E7-E8-E9</f>
        <v/>
      </c>
      <c r="F15" s="10">
        <f>F7-F8-F9</f>
        <v/>
      </c>
    </row>
    <row r="16">
      <c r="A16" s="3" t="inlineStr">
        <is>
          <t>FCF − SBC</t>
        </is>
      </c>
      <c r="B16" s="10">
        <f>B15-B10</f>
        <v/>
      </c>
      <c r="C16" s="10">
        <f>C15-C10</f>
        <v/>
      </c>
      <c r="D16" s="10">
        <f>D15-D10</f>
        <v/>
      </c>
      <c r="E16" s="10">
        <f>E15-E10</f>
        <v/>
      </c>
      <c r="F16" s="10">
        <f>F15-F10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2026-09-17T23:57:39Z</dcterms:created>
  <dcterms:modified xmlns:dcterms="http://purl.org/dc/terms/" xmlns:xsi="http://www.w3.org/2001/XMLSchema-instance" xsi:type="dcterms:W3CDTF">2026-09-17T23:57:39Z</dcterms:modified>
</cp:coreProperties>
</file>